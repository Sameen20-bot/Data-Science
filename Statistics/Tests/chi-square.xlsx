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meen\Downloads\"/>
    </mc:Choice>
  </mc:AlternateContent>
  <xr:revisionPtr revIDLastSave="0" documentId="13_ncr:1_{BF76ACE2-9F88-4CB3-96DA-5ADB26DB7784}" xr6:coauthVersionLast="47" xr6:coauthVersionMax="47" xr10:uidLastSave="{00000000-0000-0000-0000-000000000000}"/>
  <bookViews>
    <workbookView xWindow="-108" yWindow="-108" windowWidth="23256" windowHeight="12456" xr2:uid="{3F85BCAE-0183-487E-8947-1D982802CB72}"/>
  </bookViews>
  <sheets>
    <sheet name="Sheet1" sheetId="1" r:id="rId1"/>
  </sheets>
  <calcPr calcId="191029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1" l="1"/>
  <c r="L27" i="1"/>
  <c r="L24" i="1"/>
  <c r="N24" i="1"/>
  <c r="M24" i="1"/>
  <c r="L19" i="1"/>
  <c r="L18" i="1"/>
  <c r="M23" i="1"/>
  <c r="N23" i="1"/>
  <c r="L23" i="1"/>
  <c r="N19" i="1"/>
  <c r="M19" i="1"/>
  <c r="N18" i="1"/>
  <c r="M18" i="1"/>
</calcChain>
</file>

<file path=xl/sharedStrings.xml><?xml version="1.0" encoding="utf-8"?>
<sst xmlns="http://schemas.openxmlformats.org/spreadsheetml/2006/main" count="78" uniqueCount="26">
  <si>
    <t>CHI SQUARE</t>
  </si>
  <si>
    <t>Gender</t>
  </si>
  <si>
    <t>Location</t>
  </si>
  <si>
    <t>M</t>
  </si>
  <si>
    <t>F</t>
  </si>
  <si>
    <t>Japan</t>
  </si>
  <si>
    <t>India</t>
  </si>
  <si>
    <t>Korea</t>
  </si>
  <si>
    <t>Ho: There is no association b/w gender and location</t>
  </si>
  <si>
    <t>H1: There is an association b/w gender and location</t>
  </si>
  <si>
    <t>p.value &gt; 0.05 ----&gt; Accept Ho</t>
  </si>
  <si>
    <t>p.value&lt; 0.05 ----&gt; Reject Ho</t>
  </si>
  <si>
    <t>Expected = (RowTotal * ColumnTotal) / GrandTotal</t>
  </si>
  <si>
    <t>df = row - 1 * column - 1</t>
  </si>
  <si>
    <t>Column Labels</t>
  </si>
  <si>
    <t>Grand Total</t>
  </si>
  <si>
    <t>Row Labels</t>
  </si>
  <si>
    <t>Count of Gender</t>
  </si>
  <si>
    <t>Column Total</t>
  </si>
  <si>
    <t>Row Total</t>
  </si>
  <si>
    <t>Observed</t>
  </si>
  <si>
    <t>Expected</t>
  </si>
  <si>
    <t>(O-E)^2/E</t>
  </si>
  <si>
    <t>XSQUARE</t>
  </si>
  <si>
    <t>DF</t>
  </si>
  <si>
    <t>CHI -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</si>
</sst>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pivotButton="1"/>
    <xf numFmtId="0" fontId="1" fillId="2" borderId="1" xfId="0" applyFont="1" applyFill="1" applyBorder="1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left"/>
    </xf>
    <xf numFmtId="0" fontId="0" fillId="3" borderId="0" xfId="0" applyFill="1"/>
    <xf numFmtId="0" fontId="0" fillId="0" borderId="0" xfId="0" applyNumberFormat="1"/>
    <xf numFmtId="0" fontId="1" fillId="2" borderId="2" xfId="0" applyNumberFormat="1" applyFont="1" applyFill="1" applyBorder="1"/>
  </cellXfs>
  <cellStyles count="1">
    <cellStyle name="Normal" xfId="0" builtinId="0"/>
  </cellStyles>
  <dxfs count="1"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4</xdr:col>
      <xdr:colOff>18810</xdr:colOff>
      <xdr:row>27</xdr:row>
      <xdr:rowOff>163718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C447BA-54C5-FDA0-FA3F-1EDB7D05E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351020"/>
          <a:ext cx="1923810" cy="89523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een" refreshedDate="46242.614725231484" createdVersion="8" refreshedVersion="8" minRefreshableVersion="3" recordCount="16" xr:uid="{A0F2715C-795F-418E-A8A5-C2A2C8603039}">
  <cacheSource type="worksheet">
    <worksheetSource name="Table3"/>
  </cacheSource>
  <cacheFields count="2">
    <cacheField name="Gender" numFmtId="0">
      <sharedItems count="2">
        <s v="M"/>
        <s v="F"/>
      </sharedItems>
    </cacheField>
    <cacheField name="Location" numFmtId="0">
      <sharedItems count="3">
        <s v="Japan"/>
        <s v="India"/>
        <s v="Kore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</r>
  <r>
    <x v="1"/>
    <x v="1"/>
  </r>
  <r>
    <x v="1"/>
    <x v="0"/>
  </r>
  <r>
    <x v="1"/>
    <x v="0"/>
  </r>
  <r>
    <x v="0"/>
    <x v="1"/>
  </r>
  <r>
    <x v="0"/>
    <x v="2"/>
  </r>
  <r>
    <x v="0"/>
    <x v="2"/>
  </r>
  <r>
    <x v="1"/>
    <x v="0"/>
  </r>
  <r>
    <x v="1"/>
    <x v="1"/>
  </r>
  <r>
    <x v="1"/>
    <x v="1"/>
  </r>
  <r>
    <x v="0"/>
    <x v="0"/>
  </r>
  <r>
    <x v="0"/>
    <x v="1"/>
  </r>
  <r>
    <x v="0"/>
    <x v="0"/>
  </r>
  <r>
    <x v="1"/>
    <x v="0"/>
  </r>
  <r>
    <x v="1"/>
    <x v="1"/>
  </r>
  <r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AE03AB-81BB-475A-A028-275910EBB07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5:O9" firstHeaderRow="1" firstDataRow="2" firstDataCol="1"/>
  <pivotFields count="2">
    <pivotField axis="axisRow" dataField="1" showAll="0">
      <items count="3">
        <item x="1"/>
        <item x="0"/>
        <item t="default"/>
      </items>
    </pivotField>
    <pivotField axis="axisCol" showAll="0">
      <items count="4">
        <item x="1"/>
        <item x="0"/>
        <item x="2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Gend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7E5408-50F5-45EB-A842-78ADE9EDF42E}" name="Table3" displayName="Table3" ref="B5:C21" totalsRowShown="0" tableBorderDxfId="0">
  <autoFilter ref="B5:C21" xr:uid="{827E5408-50F5-45EB-A842-78ADE9EDF42E}"/>
  <tableColumns count="2">
    <tableColumn id="1" xr3:uid="{9A3302E0-F185-4993-97F4-9F4223FA4E39}" name="Gender"/>
    <tableColumn id="2" xr3:uid="{BDF62C6B-B479-487B-9EAC-39F05BF390D8}" name="Location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AE877-D97F-4D24-975B-1C8CCD4ADACF}">
  <dimension ref="B3:P29"/>
  <sheetViews>
    <sheetView tabSelected="1" topLeftCell="A4" workbookViewId="0">
      <selection activeCell="L30" sqref="L30"/>
    </sheetView>
  </sheetViews>
  <sheetFormatPr defaultRowHeight="14.4" x14ac:dyDescent="0.3"/>
  <cols>
    <col min="3" max="3" width="10" customWidth="1"/>
    <col min="11" max="11" width="15" bestFit="1" customWidth="1"/>
    <col min="12" max="12" width="15.5546875" bestFit="1" customWidth="1"/>
    <col min="13" max="14" width="5.88671875" bestFit="1" customWidth="1"/>
    <col min="15" max="15" width="10.77734375" bestFit="1" customWidth="1"/>
    <col min="16" max="16" width="11.33203125" customWidth="1"/>
    <col min="17" max="17" width="13.33203125" customWidth="1"/>
  </cols>
  <sheetData>
    <row r="3" spans="2:16" ht="25.8" x14ac:dyDescent="0.5">
      <c r="B3" s="1" t="s">
        <v>0</v>
      </c>
    </row>
    <row r="5" spans="2:16" x14ac:dyDescent="0.3">
      <c r="B5" t="s">
        <v>1</v>
      </c>
      <c r="C5" t="s">
        <v>2</v>
      </c>
      <c r="E5" t="s">
        <v>8</v>
      </c>
      <c r="K5" s="3" t="s">
        <v>17</v>
      </c>
      <c r="L5" s="3" t="s">
        <v>14</v>
      </c>
    </row>
    <row r="6" spans="2:16" x14ac:dyDescent="0.3">
      <c r="B6" t="s">
        <v>3</v>
      </c>
      <c r="C6" t="s">
        <v>5</v>
      </c>
      <c r="E6" t="s">
        <v>9</v>
      </c>
      <c r="K6" s="3" t="s">
        <v>16</v>
      </c>
      <c r="L6" t="s">
        <v>6</v>
      </c>
      <c r="M6" t="s">
        <v>5</v>
      </c>
      <c r="N6" t="s">
        <v>7</v>
      </c>
      <c r="O6" t="s">
        <v>15</v>
      </c>
    </row>
    <row r="7" spans="2:16" x14ac:dyDescent="0.3">
      <c r="B7" t="s">
        <v>4</v>
      </c>
      <c r="C7" t="s">
        <v>6</v>
      </c>
      <c r="K7" s="5" t="s">
        <v>4</v>
      </c>
      <c r="L7" s="8">
        <v>4</v>
      </c>
      <c r="M7" s="8">
        <v>4</v>
      </c>
      <c r="N7" s="8"/>
      <c r="O7" s="8">
        <v>8</v>
      </c>
    </row>
    <row r="8" spans="2:16" x14ac:dyDescent="0.3">
      <c r="B8" t="s">
        <v>4</v>
      </c>
      <c r="C8" t="s">
        <v>5</v>
      </c>
      <c r="K8" s="5" t="s">
        <v>3</v>
      </c>
      <c r="L8" s="8">
        <v>2</v>
      </c>
      <c r="M8" s="8">
        <v>3</v>
      </c>
      <c r="N8" s="8">
        <v>3</v>
      </c>
      <c r="O8" s="8">
        <v>8</v>
      </c>
      <c r="P8" s="5"/>
    </row>
    <row r="9" spans="2:16" x14ac:dyDescent="0.3">
      <c r="B9" t="s">
        <v>4</v>
      </c>
      <c r="C9" t="s">
        <v>5</v>
      </c>
      <c r="E9" s="7" t="s">
        <v>10</v>
      </c>
      <c r="F9" s="7"/>
      <c r="G9" s="7"/>
      <c r="K9" s="5" t="s">
        <v>15</v>
      </c>
      <c r="L9" s="8">
        <v>6</v>
      </c>
      <c r="M9" s="8">
        <v>7</v>
      </c>
      <c r="N9" s="8">
        <v>3</v>
      </c>
      <c r="O9" s="8">
        <v>16</v>
      </c>
      <c r="P9" s="5"/>
    </row>
    <row r="10" spans="2:16" x14ac:dyDescent="0.3">
      <c r="B10" t="s">
        <v>3</v>
      </c>
      <c r="C10" t="s">
        <v>6</v>
      </c>
      <c r="E10" t="s">
        <v>11</v>
      </c>
      <c r="P10" s="5"/>
    </row>
    <row r="11" spans="2:16" x14ac:dyDescent="0.3">
      <c r="B11" t="s">
        <v>3</v>
      </c>
      <c r="C11" t="s">
        <v>7</v>
      </c>
    </row>
    <row r="12" spans="2:16" x14ac:dyDescent="0.3">
      <c r="B12" t="s">
        <v>3</v>
      </c>
      <c r="C12" t="s">
        <v>7</v>
      </c>
      <c r="J12" s="4" t="s">
        <v>20</v>
      </c>
      <c r="K12" s="4" t="s">
        <v>16</v>
      </c>
      <c r="L12" s="4" t="s">
        <v>6</v>
      </c>
      <c r="M12" s="4" t="s">
        <v>5</v>
      </c>
      <c r="N12" s="4" t="s">
        <v>7</v>
      </c>
      <c r="O12" s="4" t="s">
        <v>19</v>
      </c>
    </row>
    <row r="13" spans="2:16" x14ac:dyDescent="0.3">
      <c r="B13" t="s">
        <v>4</v>
      </c>
      <c r="C13" t="s">
        <v>5</v>
      </c>
      <c r="E13" t="s">
        <v>12</v>
      </c>
      <c r="K13" s="5" t="s">
        <v>4</v>
      </c>
      <c r="L13" s="8">
        <v>4</v>
      </c>
      <c r="M13" s="8">
        <v>4</v>
      </c>
      <c r="N13" s="8"/>
      <c r="O13" s="8">
        <v>8</v>
      </c>
      <c r="P13" s="5"/>
    </row>
    <row r="14" spans="2:16" x14ac:dyDescent="0.3">
      <c r="B14" t="s">
        <v>4</v>
      </c>
      <c r="C14" t="s">
        <v>6</v>
      </c>
      <c r="E14" s="2" t="s">
        <v>13</v>
      </c>
      <c r="K14" s="5" t="s">
        <v>3</v>
      </c>
      <c r="L14" s="8">
        <v>2</v>
      </c>
      <c r="M14" s="8">
        <v>3</v>
      </c>
      <c r="N14" s="8">
        <v>3</v>
      </c>
      <c r="O14" s="8">
        <v>8</v>
      </c>
      <c r="P14" s="5"/>
    </row>
    <row r="15" spans="2:16" x14ac:dyDescent="0.3">
      <c r="B15" t="s">
        <v>4</v>
      </c>
      <c r="C15" t="s">
        <v>6</v>
      </c>
      <c r="K15" s="6" t="s">
        <v>18</v>
      </c>
      <c r="L15" s="9">
        <v>6</v>
      </c>
      <c r="M15" s="9">
        <v>7</v>
      </c>
      <c r="N15" s="9">
        <v>3</v>
      </c>
      <c r="O15" s="9">
        <v>16</v>
      </c>
      <c r="P15" s="9" t="s">
        <v>15</v>
      </c>
    </row>
    <row r="16" spans="2:16" x14ac:dyDescent="0.3">
      <c r="B16" t="s">
        <v>3</v>
      </c>
      <c r="C16" t="s">
        <v>5</v>
      </c>
    </row>
    <row r="17" spans="2:16" x14ac:dyDescent="0.3">
      <c r="B17" t="s">
        <v>3</v>
      </c>
      <c r="C17" t="s">
        <v>6</v>
      </c>
      <c r="J17" s="4" t="s">
        <v>21</v>
      </c>
      <c r="K17" s="4" t="s">
        <v>16</v>
      </c>
      <c r="L17" s="4" t="s">
        <v>6</v>
      </c>
      <c r="M17" s="4" t="s">
        <v>5</v>
      </c>
      <c r="N17" s="4" t="s">
        <v>7</v>
      </c>
      <c r="O17" s="4"/>
    </row>
    <row r="18" spans="2:16" x14ac:dyDescent="0.3">
      <c r="B18" t="s">
        <v>3</v>
      </c>
      <c r="C18" t="s">
        <v>5</v>
      </c>
      <c r="K18" s="5" t="s">
        <v>4</v>
      </c>
      <c r="L18" s="8">
        <f>(O13*L15)/O15</f>
        <v>3</v>
      </c>
      <c r="M18" s="8">
        <f>(O13*M15)/O15</f>
        <v>3.5</v>
      </c>
      <c r="N18" s="8">
        <f>(O13*N15)/O15</f>
        <v>1.5</v>
      </c>
      <c r="O18" s="8"/>
      <c r="P18" s="5"/>
    </row>
    <row r="19" spans="2:16" x14ac:dyDescent="0.3">
      <c r="B19" t="s">
        <v>4</v>
      </c>
      <c r="C19" t="s">
        <v>5</v>
      </c>
      <c r="K19" s="5" t="s">
        <v>3</v>
      </c>
      <c r="L19" s="8">
        <f>(O14*L15)/O15</f>
        <v>3</v>
      </c>
      <c r="M19" s="8">
        <f>(O14*M15)/O15</f>
        <v>3.5</v>
      </c>
      <c r="N19" s="8">
        <f>(O14*N15)/O15</f>
        <v>1.5</v>
      </c>
      <c r="O19" s="8"/>
      <c r="P19" s="5"/>
    </row>
    <row r="20" spans="2:16" x14ac:dyDescent="0.3">
      <c r="B20" t="s">
        <v>4</v>
      </c>
      <c r="C20" t="s">
        <v>6</v>
      </c>
      <c r="K20" s="6"/>
      <c r="L20" s="9"/>
      <c r="M20" s="9"/>
      <c r="N20" s="9"/>
      <c r="O20" s="9"/>
      <c r="P20" s="5"/>
    </row>
    <row r="21" spans="2:16" x14ac:dyDescent="0.3">
      <c r="B21" t="s">
        <v>3</v>
      </c>
      <c r="C21" t="s">
        <v>7</v>
      </c>
    </row>
    <row r="22" spans="2:16" x14ac:dyDescent="0.3">
      <c r="J22" s="4" t="s">
        <v>22</v>
      </c>
      <c r="K22" s="4" t="s">
        <v>16</v>
      </c>
      <c r="L22" s="4" t="s">
        <v>6</v>
      </c>
      <c r="M22" s="4" t="s">
        <v>5</v>
      </c>
      <c r="N22" s="4" t="s">
        <v>7</v>
      </c>
      <c r="O22" s="4"/>
    </row>
    <row r="23" spans="2:16" x14ac:dyDescent="0.3">
      <c r="K23" s="5" t="s">
        <v>4</v>
      </c>
      <c r="L23" s="8">
        <f>(L13-L18)^2/L18</f>
        <v>0.33333333333333331</v>
      </c>
      <c r="M23" s="8">
        <f t="shared" ref="M23:N24" si="0">(M13-M18)^2/M18</f>
        <v>7.1428571428571425E-2</v>
      </c>
      <c r="N23" s="8">
        <f t="shared" si="0"/>
        <v>1.5</v>
      </c>
      <c r="O23" s="8"/>
      <c r="P23" s="5"/>
    </row>
    <row r="24" spans="2:16" x14ac:dyDescent="0.3">
      <c r="K24" s="5" t="s">
        <v>3</v>
      </c>
      <c r="L24" s="8">
        <f>(L14-L19)^2/L19</f>
        <v>0.33333333333333331</v>
      </c>
      <c r="M24" s="8">
        <f t="shared" si="0"/>
        <v>7.1428571428571425E-2</v>
      </c>
      <c r="N24" s="8">
        <f>(N14-N19)^2/N19</f>
        <v>1.5</v>
      </c>
      <c r="O24" s="8"/>
      <c r="P24" s="5"/>
    </row>
    <row r="25" spans="2:16" x14ac:dyDescent="0.3">
      <c r="K25" s="6"/>
      <c r="L25" s="9"/>
      <c r="M25" s="9"/>
      <c r="N25" s="9"/>
      <c r="O25" s="9"/>
      <c r="P25" s="5"/>
    </row>
    <row r="27" spans="2:16" x14ac:dyDescent="0.3">
      <c r="J27" t="s">
        <v>23</v>
      </c>
      <c r="L27">
        <f>SUM(L23:N24)</f>
        <v>3.8095238095238098</v>
      </c>
    </row>
    <row r="28" spans="2:16" x14ac:dyDescent="0.3">
      <c r="J28" t="s">
        <v>24</v>
      </c>
      <c r="K28" s="5"/>
      <c r="L28">
        <v>2</v>
      </c>
      <c r="P28" s="5"/>
    </row>
    <row r="29" spans="2:16" x14ac:dyDescent="0.3">
      <c r="J29" t="s">
        <v>25</v>
      </c>
      <c r="K29" s="5"/>
      <c r="L29">
        <f>_xlfn.CHISQ.DIST.RT(L27,L28)</f>
        <v>0.14885808080333313</v>
      </c>
      <c r="P29" s="5"/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Sameen Zaki</dc:creator>
  <cp:lastModifiedBy>Sameen Zaki</cp:lastModifiedBy>
  <dcterms:created xsi:type="dcterms:W3CDTF">2025-10-06T14:18:00Z</dcterms:created>
  <dcterms:modified xsi:type="dcterms:W3CDTF">2026-08-08T10:25:36Z</dcterms:modified>
</cp:coreProperties>
</file>