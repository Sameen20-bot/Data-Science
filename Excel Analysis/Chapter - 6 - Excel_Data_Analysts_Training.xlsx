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n\Data Science\Excel Analysis\"/>
    </mc:Choice>
  </mc:AlternateContent>
  <xr:revisionPtr revIDLastSave="0" documentId="13_ncr:1_{CEF6E6B3-5727-44C3-ACF7-2E6452976846}" xr6:coauthVersionLast="47" xr6:coauthVersionMax="47" xr10:uidLastSave="{00000000-0000-0000-0000-000000000000}"/>
  <bookViews>
    <workbookView xWindow="-108" yWindow="-108" windowWidth="23256" windowHeight="12456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7" i="5"/>
  <c r="C16" i="5"/>
  <c r="I3" i="3"/>
  <c r="F3" i="6"/>
  <c r="F4" i="6"/>
  <c r="F5" i="6"/>
  <c r="F6" i="6"/>
  <c r="F7" i="6"/>
  <c r="F8" i="6"/>
  <c r="F9" i="6"/>
  <c r="F10" i="6"/>
  <c r="F11" i="6"/>
  <c r="F12" i="6"/>
  <c r="F13" i="6"/>
  <c r="F2" i="6"/>
  <c r="I5" i="2"/>
  <c r="I6" i="2"/>
  <c r="I7" i="2"/>
  <c r="I4" i="2"/>
</calcChain>
</file>

<file path=xl/sharedStrings.xml><?xml version="1.0" encoding="utf-8"?>
<sst xmlns="http://schemas.openxmlformats.org/spreadsheetml/2006/main" count="237" uniqueCount="117">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</sst>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I13"/>
  <sheetViews>
    <sheetView zoomScale="145" zoomScaleNormal="145" workbookViewId="0">
      <selection activeCell="I11" sqref="I11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3.6640625" customWidth="1"/>
    <col min="8" max="8" width="11.6640625" customWidth="1"/>
    <col min="9" max="9" width="12.3320312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29</v>
      </c>
      <c r="I4" t="str">
        <f>VLOOKUP($I$3,$A$1:$E$13,ROW()-2,0)</f>
        <v>Employee_1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6" t="s">
        <v>28</v>
      </c>
      <c r="I5" t="str">
        <f t="shared" ref="I5:I7" si="0">VLOOKUP($I$3,$A$1:$E$13,ROW()-2,0)</f>
        <v>Finance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H6" s="5" t="s">
        <v>27</v>
      </c>
      <c r="I6">
        <f t="shared" si="0"/>
        <v>41954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H7" s="4" t="s">
        <v>26</v>
      </c>
      <c r="I7">
        <f t="shared" si="0"/>
        <v>43831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3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45" zoomScaleNormal="145" workbookViewId="0">
      <selection activeCell="F2" sqref="F2:F13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27.44140625" customWidth="1"/>
    <col min="8" max="8" width="11.1093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9" t="s">
        <v>113</v>
      </c>
      <c r="H1" t="s">
        <v>114</v>
      </c>
    </row>
    <row r="2" spans="1:9" x14ac:dyDescent="0.3">
      <c r="A2" s="3" t="s">
        <v>25</v>
      </c>
      <c r="B2" s="3" t="s">
        <v>24</v>
      </c>
      <c r="C2" s="3" t="s">
        <v>10</v>
      </c>
      <c r="D2" s="12">
        <v>41954</v>
      </c>
      <c r="E2" s="1">
        <v>43831</v>
      </c>
      <c r="F2" t="str">
        <f>VLOOKUP(D2,Emp_Type,2,1)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12">
        <v>49855</v>
      </c>
      <c r="E3" s="1">
        <v>43832</v>
      </c>
      <c r="F3" t="str">
        <f>VLOOKUP(D3,Emp_Type,2,1)</f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12">
        <v>94210</v>
      </c>
      <c r="E4" s="1">
        <v>43833</v>
      </c>
      <c r="F4" t="str">
        <f>VLOOKUP(D4,Emp_Type,2,1)</f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12">
        <v>74689</v>
      </c>
      <c r="E5" s="1">
        <v>43834</v>
      </c>
      <c r="F5" t="str">
        <f>VLOOKUP(D5,Emp_Type,2,1)</f>
        <v>Grade3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12">
        <v>90652</v>
      </c>
      <c r="E6" s="1">
        <v>43835</v>
      </c>
      <c r="F6" t="str">
        <f>VLOOKUP(D6,Emp_Type,2,1)</f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12">
        <v>74820</v>
      </c>
      <c r="E7" s="1">
        <v>43836</v>
      </c>
      <c r="F7" t="str">
        <f>VLOOKUP(D7,Emp_Type,2,1)</f>
        <v>Grade3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12">
        <v>85206</v>
      </c>
      <c r="E8" s="1">
        <v>43837</v>
      </c>
      <c r="F8" t="str">
        <f>VLOOKUP(D8,Emp_Type,2,1)</f>
        <v>Grade2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12">
        <v>30924</v>
      </c>
      <c r="E9" s="1">
        <v>43838</v>
      </c>
      <c r="F9" t="str">
        <f>VLOOKUP(D9,Emp_Type,2,1)</f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12">
        <v>57737</v>
      </c>
      <c r="E10" s="1">
        <v>43839</v>
      </c>
      <c r="F10" t="str">
        <f>VLOOKUP(D10,Emp_Type,2,1)</f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12">
        <v>36000</v>
      </c>
      <c r="E11" s="1">
        <v>43840</v>
      </c>
      <c r="F11" t="str">
        <f>VLOOKUP(D11,Emp_Type,2,1)</f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12">
        <v>96371</v>
      </c>
      <c r="E12" s="1">
        <v>43841</v>
      </c>
      <c r="F12" t="str">
        <f>VLOOKUP(D12,Emp_Type,2,1)</f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12">
        <v>85028</v>
      </c>
      <c r="E13" s="1">
        <v>43842</v>
      </c>
      <c r="F13" t="str">
        <f>VLOOKUP(D13,Emp_Type,2,1)</f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H3" sqref="H3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6.664062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H2" s="6" t="s">
        <v>30</v>
      </c>
      <c r="I2" s="3" t="s">
        <v>25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28</v>
      </c>
      <c r="I3" t="str">
        <f>VLOOKUP($I$2,$A$1:$E$13,MATCH(H3,$A$1:$E$1,0),0)</f>
        <v>Finance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1" priority="2">
      <formula>$C2=$F$2</formula>
    </cfRule>
  </conditionalFormatting>
  <conditionalFormatting sqref="I2">
    <cfRule type="expression" dxfId="0" priority="1">
      <formula>$C2=$F$2</formula>
    </cfRule>
  </conditionalFormatting>
  <dataValidations count="1">
    <dataValidation type="list" allowBlank="1" showInputMessage="1" showErrorMessage="1" sqref="H3" xr:uid="{07463D9A-2F0A-4939-B83A-06980BC8D5EC}">
      <formula1>$A$1:$E$1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tabSelected="1" zoomScale="115" zoomScaleNormal="115" workbookViewId="0">
      <selection activeCell="D20" sqref="D20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7" t="s">
        <v>105</v>
      </c>
      <c r="C13" s="10" t="s">
        <v>103</v>
      </c>
    </row>
    <row r="14" spans="1:10" ht="21.6" customHeight="1" x14ac:dyDescent="0.3">
      <c r="B14" s="10" t="s">
        <v>95</v>
      </c>
      <c r="C14" s="11" t="str">
        <f>INDEX(A1:J9,MATCH(B14,A1:A9,0),MATCH(C13,A1:J1,0))</f>
        <v>Mathematics (Mr. Smith)</v>
      </c>
    </row>
    <row r="16" spans="1:10" x14ac:dyDescent="0.3">
      <c r="B16" t="s">
        <v>115</v>
      </c>
      <c r="C16">
        <f>MATCH(B14,A1:A9,0)</f>
        <v>2</v>
      </c>
    </row>
    <row r="17" spans="2:3" x14ac:dyDescent="0.3">
      <c r="B17" t="s">
        <v>116</v>
      </c>
      <c r="C17" s="8">
        <f>MATCH(C13,A1:G1,0)</f>
        <v>3</v>
      </c>
    </row>
    <row r="18" spans="2:3" x14ac:dyDescent="0.3">
      <c r="C18" s="8"/>
    </row>
  </sheetData>
  <dataValidations count="2">
    <dataValidation type="list" allowBlank="1" showInputMessage="1" showErrorMessage="1" sqref="B14" xr:uid="{AC247D87-B494-4E93-BCAF-1F72631F5389}">
      <formula1>$A$1:$A$9</formula1>
    </dataValidation>
    <dataValidation type="list" allowBlank="1" showInputMessage="1" showErrorMessage="1" sqref="C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Sameen Zaki</cp:lastModifiedBy>
  <dcterms:created xsi:type="dcterms:W3CDTF">2024-12-17T10:15:43Z</dcterms:created>
  <dcterms:modified xsi:type="dcterms:W3CDTF">2026-09-15T14:34:05Z</dcterms:modified>
</cp:coreProperties>
</file>