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n\Data Science\Excel Analysis\"/>
    </mc:Choice>
  </mc:AlternateContent>
  <xr:revisionPtr revIDLastSave="0" documentId="13_ncr:1_{B54F04F3-0785-4FA6-BF3D-08080BAB1970}" xr6:coauthVersionLast="47" xr6:coauthVersionMax="47" xr10:uidLastSave="{00000000-0000-0000-0000-000000000000}"/>
  <bookViews>
    <workbookView xWindow="-108" yWindow="-108" windowWidth="23256" windowHeight="12456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O25" i="1"/>
  <c r="N26" i="1"/>
  <c r="O26" i="1"/>
  <c r="N27" i="1"/>
  <c r="O27" i="1"/>
  <c r="N28" i="1"/>
  <c r="O28" i="1"/>
  <c r="N29" i="1"/>
  <c r="O29" i="1"/>
  <c r="M26" i="1"/>
  <c r="M27" i="1"/>
  <c r="M28" i="1"/>
  <c r="M29" i="1"/>
  <c r="M25" i="1"/>
  <c r="M20" i="1"/>
  <c r="M21" i="1"/>
  <c r="M19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N10" i="1"/>
  <c r="O10" i="1"/>
  <c r="P10" i="1"/>
  <c r="M10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<sst xmlns="http://schemas.openxmlformats.org/spreadsheetml/2006/main" count="6045" uniqueCount="70">
  <si>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</si>
  <si>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</si>
  <si>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</si>
  <si>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</si>
  <si>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</si>
  <si>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</si>
  <si>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</si>
  <si>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</si>
  <si>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</si>
  <si>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</si>
  <si>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</si>
  <si>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</si>
  <si>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</si>
  <si>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</si>
  <si>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</si>
  <si>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</si>
  <si>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</si>
  <si>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</si>
  <si>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</si>
  <si>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</si>
  <si>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</si>
  <si>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</si>
  <si>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</si>
  <si>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</si>
  <si>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</si>
  <si>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</si>
  <si>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</si>
  <si>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</si>
  <si>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</si>
  <si>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</si>
  <si>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</si>
  <si>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</si>
  <si>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</si>
  <si>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</si>
  <si>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</si>
  <si>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</si>
  <si>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</si>
  <si>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</si>
  <si>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</si>
  <si>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</si>
  <si>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</si>
  <si>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</si>
  <si>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</si>
  <si>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</si>
  <si>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</si>
  <si>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</si>
  <si>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</si>
  <si>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</si>
  <si>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</si>
  <si>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</si>
  <si>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</si>
  <si>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</si>
  <si>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</si>
  <si>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</si>
  <si>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</si>
  <si>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</si>
  <si>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</si>
  <si>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</si>
  <si>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</si>
  <si>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</si>
  <si>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</si>
  <si>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</si>
  <si>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</si>
  <si>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</si>
  <si>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</si>
  <si>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</si>
  <si>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</si>
  <si>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</si>
  <si>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</si>
  <si>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Product/Region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</si>
</sst>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S1001"/>
  <sheetViews>
    <sheetView tabSelected="1" topLeftCell="D13" zoomScale="130" zoomScaleNormal="130" workbookViewId="0">
      <selection activeCell="Q29" sqref="Q29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9.44140625" customWidth="1"/>
    <col min="12" max="12" width="17.44140625" customWidth="1"/>
    <col min="13" max="13" width="8.33203125" bestFit="1" customWidth="1"/>
    <col min="14" max="14" width="7.6640625" bestFit="1" customWidth="1"/>
    <col min="15" max="15" width="9" bestFit="1" customWidth="1"/>
    <col min="16" max="16" width="10" bestFit="1" customWidth="1"/>
    <col min="18" max="18" width="10.44140625" customWidth="1"/>
    <col min="19" max="19" width="15.33203125" bestFit="1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N1" s="2"/>
      <c r="R1" s="2"/>
      <c r="S1" s="2" t="s">
        <v>5</v>
      </c>
    </row>
    <row r="2" spans="1:19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>
        <f>COUNTIF($D:$D,L2)</f>
        <v>207</v>
      </c>
      <c r="S2" t="s">
        <v>14</v>
      </c>
    </row>
    <row r="3" spans="1:19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>
        <f t="shared" ref="M3:M6" si="0">COUNTIF($D:$D,L3)</f>
        <v>208</v>
      </c>
      <c r="S3" t="s">
        <v>20</v>
      </c>
    </row>
    <row r="4" spans="1:19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>
        <f t="shared" si="0"/>
        <v>212</v>
      </c>
      <c r="S4" t="s">
        <v>26</v>
      </c>
    </row>
    <row r="5" spans="1:19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>
        <f t="shared" si="0"/>
        <v>180</v>
      </c>
      <c r="S5" t="s">
        <v>30</v>
      </c>
    </row>
    <row r="6" spans="1:19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>
        <f t="shared" si="0"/>
        <v>193</v>
      </c>
      <c r="S6" t="s">
        <v>37</v>
      </c>
    </row>
    <row r="7" spans="1:19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19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19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L9" s="2" t="s">
        <v>68</v>
      </c>
      <c r="M9" t="s">
        <v>14</v>
      </c>
      <c r="N9" t="s">
        <v>26</v>
      </c>
      <c r="O9" t="s">
        <v>30</v>
      </c>
      <c r="P9" t="s">
        <v>37</v>
      </c>
    </row>
    <row r="10" spans="1:19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t="s">
        <v>12</v>
      </c>
      <c r="M10">
        <f>COUNTIFS($D:$D,$L10,$F:$F,M$9)</f>
        <v>44</v>
      </c>
      <c r="N10">
        <f t="shared" ref="N10:P14" si="1">COUNTIFS($D:$D,$L10,$F:$F,N$9)</f>
        <v>49</v>
      </c>
      <c r="O10">
        <f t="shared" si="1"/>
        <v>34</v>
      </c>
      <c r="P10">
        <f t="shared" si="1"/>
        <v>39</v>
      </c>
    </row>
    <row r="11" spans="1:19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18</v>
      </c>
      <c r="M11">
        <f t="shared" ref="M11:M14" si="2">COUNTIFS($D:$D,$L11,$F:$F,M$9)</f>
        <v>41</v>
      </c>
      <c r="N11">
        <f t="shared" si="1"/>
        <v>45</v>
      </c>
      <c r="O11">
        <f t="shared" si="1"/>
        <v>43</v>
      </c>
      <c r="P11">
        <f t="shared" si="1"/>
        <v>46</v>
      </c>
    </row>
    <row r="12" spans="1:19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24</v>
      </c>
      <c r="M12">
        <f t="shared" si="2"/>
        <v>42</v>
      </c>
      <c r="N12">
        <f t="shared" si="1"/>
        <v>42</v>
      </c>
      <c r="O12">
        <f t="shared" si="1"/>
        <v>42</v>
      </c>
      <c r="P12">
        <f t="shared" si="1"/>
        <v>40</v>
      </c>
    </row>
    <row r="13" spans="1:19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41</v>
      </c>
      <c r="M13">
        <f t="shared" si="2"/>
        <v>32</v>
      </c>
      <c r="N13">
        <f t="shared" si="1"/>
        <v>41</v>
      </c>
      <c r="O13">
        <f t="shared" si="1"/>
        <v>36</v>
      </c>
      <c r="P13">
        <f t="shared" si="1"/>
        <v>36</v>
      </c>
    </row>
    <row r="14" spans="1:19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48</v>
      </c>
      <c r="M14">
        <f t="shared" si="2"/>
        <v>46</v>
      </c>
      <c r="N14">
        <f t="shared" si="1"/>
        <v>33</v>
      </c>
      <c r="O14">
        <f t="shared" si="1"/>
        <v>34</v>
      </c>
      <c r="P14">
        <f t="shared" si="1"/>
        <v>41</v>
      </c>
    </row>
    <row r="15" spans="1:19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19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5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</row>
    <row r="18" spans="1:15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s="2" t="s">
        <v>4</v>
      </c>
    </row>
    <row r="19" spans="1:15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t="s">
        <v>13</v>
      </c>
      <c r="M19">
        <f>SUMIF(E:E,L19,H:H)</f>
        <v>4073</v>
      </c>
    </row>
    <row r="20" spans="1:15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19</v>
      </c>
      <c r="M20">
        <f t="shared" ref="M20:M21" si="3">SUMIF(E:E,L20,H:H)</f>
        <v>4434</v>
      </c>
    </row>
    <row r="21" spans="1:15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  <c r="L21" t="s">
        <v>49</v>
      </c>
      <c r="M21">
        <f t="shared" si="3"/>
        <v>2067</v>
      </c>
    </row>
    <row r="22" spans="1:15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M22" s="4"/>
    </row>
    <row r="23" spans="1:15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15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L24" s="2" t="s">
        <v>69</v>
      </c>
      <c r="M24" t="s">
        <v>13</v>
      </c>
      <c r="N24" t="s">
        <v>19</v>
      </c>
      <c r="O24" t="s">
        <v>49</v>
      </c>
    </row>
    <row r="25" spans="1:15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L25" t="s">
        <v>14</v>
      </c>
      <c r="M25">
        <f>SUMIFS($H:$H,$F:$F,$L25,$E:$E,M$24)</f>
        <v>866</v>
      </c>
      <c r="N25">
        <f t="shared" ref="N25:O25" si="4">SUMIFS($H:$H,$F:$F,$L25,$E:$E,N$24)</f>
        <v>862</v>
      </c>
      <c r="O25">
        <f t="shared" si="4"/>
        <v>434</v>
      </c>
    </row>
    <row r="26" spans="1:15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t="s">
        <v>20</v>
      </c>
      <c r="M26">
        <f t="shared" ref="M26:O29" si="5">SUMIFS($H:$H,$F:$F,$L26,$E:$E,M$24)</f>
        <v>887</v>
      </c>
      <c r="N26">
        <f t="shared" si="5"/>
        <v>893</v>
      </c>
      <c r="O26">
        <f t="shared" si="5"/>
        <v>406</v>
      </c>
    </row>
    <row r="27" spans="1:15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26</v>
      </c>
      <c r="M27">
        <f t="shared" si="5"/>
        <v>902</v>
      </c>
      <c r="N27">
        <f t="shared" si="5"/>
        <v>960</v>
      </c>
      <c r="O27">
        <f t="shared" si="5"/>
        <v>390</v>
      </c>
    </row>
    <row r="28" spans="1:15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30</v>
      </c>
      <c r="M28">
        <f t="shared" si="5"/>
        <v>667</v>
      </c>
      <c r="N28">
        <f t="shared" si="5"/>
        <v>918</v>
      </c>
      <c r="O28">
        <f t="shared" si="5"/>
        <v>365</v>
      </c>
    </row>
    <row r="29" spans="1:15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37</v>
      </c>
      <c r="M29">
        <f t="shared" si="5"/>
        <v>751</v>
      </c>
      <c r="N29">
        <f t="shared" si="5"/>
        <v>801</v>
      </c>
      <c r="O29">
        <f t="shared" si="5"/>
        <v>472</v>
      </c>
    </row>
    <row r="30" spans="1:15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</row>
    <row r="31" spans="1:15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</row>
    <row r="32" spans="1:15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0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</row>
    <row r="34" spans="1:10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</row>
    <row r="35" spans="1:10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</row>
    <row r="36" spans="1:10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</row>
    <row r="37" spans="1:10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</row>
    <row r="38" spans="1:10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</row>
    <row r="39" spans="1:10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</row>
    <row r="40" spans="1:10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0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0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</row>
    <row r="43" spans="1:10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0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0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0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0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0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Sameen Zaki</cp:lastModifiedBy>
  <dcterms:created xsi:type="dcterms:W3CDTF">2024-12-18T09:13:38Z</dcterms:created>
  <dcterms:modified xsi:type="dcterms:W3CDTF">2026-09-16T11:43:12Z</dcterms:modified>
</cp:coreProperties>
</file>