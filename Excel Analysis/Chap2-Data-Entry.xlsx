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Sameen\Data Science\Excel Analysis\"/>
    </mc:Choice>
  </mc:AlternateContent>
  <xr:revisionPtr revIDLastSave="0" documentId="13_ncr:1_{04833AAB-5CF7-4E17-AC62-1B7EF6E028E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Employee_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6" i="1" l="1"/>
  <c r="O7" i="1"/>
  <c r="O8" i="1"/>
  <c r="O9" i="1"/>
  <c r="O5" i="1"/>
  <c r="N6" i="1"/>
  <c r="N7" i="1"/>
  <c r="N8" i="1"/>
  <c r="N9" i="1"/>
  <c r="N5" i="1"/>
  <c r="M6" i="1"/>
  <c r="M7" i="1"/>
  <c r="M8" i="1"/>
  <c r="M9" i="1"/>
  <c r="M5" i="1"/>
  <c r="L6" i="1"/>
  <c r="L7" i="1"/>
  <c r="L8" i="1"/>
  <c r="L9" i="1"/>
  <c r="L5" i="1"/>
  <c r="K6" i="1"/>
  <c r="K7" i="1"/>
  <c r="K8" i="1"/>
  <c r="K9" i="1"/>
  <c r="K5" i="1"/>
  <c r="D52" i="1"/>
</calcChain>
</file>

<file path=xl/sharedStrings.xml><?xml version="1.0" encoding="utf-8"?>
<sst xmlns="http://schemas.openxmlformats.org/spreadsheetml/2006/main" count="164" uniqueCount="117">
  <si>
    <t>Employee ID</t>
  </si>
  <si>
    <t>Name</t>
  </si>
  <si>
    <t>Department</t>
  </si>
  <si>
    <t>Salary</t>
  </si>
  <si>
    <t>Joining Date</t>
  </si>
  <si>
    <t>EMP001</t>
  </si>
  <si>
    <t>Employee_1</t>
  </si>
  <si>
    <t>Finance</t>
  </si>
  <si>
    <t>EMP002</t>
  </si>
  <si>
    <t>Employee_2</t>
  </si>
  <si>
    <t>Operations</t>
  </si>
  <si>
    <t>EMP003</t>
  </si>
  <si>
    <t>Employee_3</t>
  </si>
  <si>
    <t>Sales</t>
  </si>
  <si>
    <t>EMP004</t>
  </si>
  <si>
    <t>Employee_4</t>
  </si>
  <si>
    <t>IT</t>
  </si>
  <si>
    <t>EMP005</t>
  </si>
  <si>
    <t>Employee_5</t>
  </si>
  <si>
    <t>HR</t>
  </si>
  <si>
    <t>EMP006</t>
  </si>
  <si>
    <t>Employee_6</t>
  </si>
  <si>
    <t>EMP007</t>
  </si>
  <si>
    <t>Employee_7</t>
  </si>
  <si>
    <t>EMP008</t>
  </si>
  <si>
    <t>Employee_8</t>
  </si>
  <si>
    <t>EMP009</t>
  </si>
  <si>
    <t>Employee_9</t>
  </si>
  <si>
    <t>EMP010</t>
  </si>
  <si>
    <t>Employee_10</t>
  </si>
  <si>
    <t>EMP011</t>
  </si>
  <si>
    <t>Employee_11</t>
  </si>
  <si>
    <t>EMP012</t>
  </si>
  <si>
    <t>Employee_12</t>
  </si>
  <si>
    <t>EMP013</t>
  </si>
  <si>
    <t>Employee_13</t>
  </si>
  <si>
    <t>EMP014</t>
  </si>
  <si>
    <t>Employee_14</t>
  </si>
  <si>
    <t>EMP015</t>
  </si>
  <si>
    <t>Employee_15</t>
  </si>
  <si>
    <t>EMP016</t>
  </si>
  <si>
    <t>Employee_16</t>
  </si>
  <si>
    <t>EMP017</t>
  </si>
  <si>
    <t>Employee_17</t>
  </si>
  <si>
    <t>EMP018</t>
  </si>
  <si>
    <t>Employee_18</t>
  </si>
  <si>
    <t>EMP019</t>
  </si>
  <si>
    <t>Employee_19</t>
  </si>
  <si>
    <t>EMP020</t>
  </si>
  <si>
    <t>Employee_20</t>
  </si>
  <si>
    <t>EMP021</t>
  </si>
  <si>
    <t>Employee_21</t>
  </si>
  <si>
    <t>EMP022</t>
  </si>
  <si>
    <t>Employee_22</t>
  </si>
  <si>
    <t>EMP023</t>
  </si>
  <si>
    <t>Employee_23</t>
  </si>
  <si>
    <t>EMP024</t>
  </si>
  <si>
    <t>Employee_24</t>
  </si>
  <si>
    <t>EMP025</t>
  </si>
  <si>
    <t>Employee_25</t>
  </si>
  <si>
    <t>EMP026</t>
  </si>
  <si>
    <t>Employee_26</t>
  </si>
  <si>
    <t>EMP027</t>
  </si>
  <si>
    <t>Employee_27</t>
  </si>
  <si>
    <t>EMP028</t>
  </si>
  <si>
    <t>Employee_28</t>
  </si>
  <si>
    <t>EMP029</t>
  </si>
  <si>
    <t>Employee_29</t>
  </si>
  <si>
    <t>EMP030</t>
  </si>
  <si>
    <t>Employee_30</t>
  </si>
  <si>
    <t>EMP031</t>
  </si>
  <si>
    <t>Employee_31</t>
  </si>
  <si>
    <t>EMP032</t>
  </si>
  <si>
    <t>Employee_32</t>
  </si>
  <si>
    <t>EMP033</t>
  </si>
  <si>
    <t>Employee_33</t>
  </si>
  <si>
    <t>EMP034</t>
  </si>
  <si>
    <t>Employee_34</t>
  </si>
  <si>
    <t>EMP035</t>
  </si>
  <si>
    <t>Employee_35</t>
  </si>
  <si>
    <t>EMP036</t>
  </si>
  <si>
    <t>Employee_36</t>
  </si>
  <si>
    <t>EMP037</t>
  </si>
  <si>
    <t>Employee_37</t>
  </si>
  <si>
    <t>EMP038</t>
  </si>
  <si>
    <t>Employee_38</t>
  </si>
  <si>
    <t>EMP039</t>
  </si>
  <si>
    <t>Employee_39</t>
  </si>
  <si>
    <t>EMP040</t>
  </si>
  <si>
    <t>Employee_40</t>
  </si>
  <si>
    <t>EMP041</t>
  </si>
  <si>
    <t>Employee_41</t>
  </si>
  <si>
    <t>EMP042</t>
  </si>
  <si>
    <t>Employee_42</t>
  </si>
  <si>
    <t>EMP043</t>
  </si>
  <si>
    <t>Employee_43</t>
  </si>
  <si>
    <t>EMP044</t>
  </si>
  <si>
    <t>Employee_44</t>
  </si>
  <si>
    <t>EMP045</t>
  </si>
  <si>
    <t>Employee_45</t>
  </si>
  <si>
    <t>EMP046</t>
  </si>
  <si>
    <t>Employee_46</t>
  </si>
  <si>
    <t>EMP047</t>
  </si>
  <si>
    <t>Employee_47</t>
  </si>
  <si>
    <t>EMP048</t>
  </si>
  <si>
    <t>Employee_48</t>
  </si>
  <si>
    <t>EMP049</t>
  </si>
  <si>
    <t>Employee_49</t>
  </si>
  <si>
    <t>EMP050</t>
  </si>
  <si>
    <t>Employee_50</t>
  </si>
  <si>
    <t>SUB1</t>
  </si>
  <si>
    <t>Total</t>
  </si>
  <si>
    <t>Marks</t>
  </si>
  <si>
    <t>MAX</t>
  </si>
  <si>
    <t>MIN</t>
  </si>
  <si>
    <t>Count</t>
  </si>
  <si>
    <t>AVG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</si>
</sst>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6" formatCode="dd\-mm\-yyyy"/>
    <numFmt numFmtId="167" formatCode="_([$$-409]* #,##0.00_);_([$$-409]* \(#,##0.00\);_([$$-409]* &quot;-&quot;??_);_(@_)"/>
  </numFmts>
  <fonts count="5">
    <font>
      <sz val="11"/>
      <name val="Carlito"/>
    </font>
    <font>
      <sz val="11"/>
      <name val="Calibri"/>
    </font>
    <font>
      <b/>
      <sz val="11"/>
      <color rgb="FF000000"/>
      <name val="Calibri"/>
    </font>
    <font>
      <sz val="11"/>
      <name val="Calibri"/>
      <family val="2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horizontal="center"/>
    </xf>
    <xf numFmtId="166" fontId="2" fillId="2" borderId="0" xfId="0" applyNumberFormat="1" applyFont="1" applyFill="1" applyAlignment="1">
      <alignment horizontal="center"/>
    </xf>
    <xf numFmtId="166" fontId="1" fillId="0" borderId="0" xfId="0" applyNumberFormat="1" applyFont="1"/>
    <xf numFmtId="167" fontId="1" fillId="0" borderId="0" xfId="0" applyNumberFormat="1" applyFon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9">
    <dxf>
      <font>
        <color theme="8" tint="0.39994506668294322"/>
      </font>
    </dxf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166" formatCode="dd\-mm\-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167" formatCode="_([$$-409]* #,##0.00_);_([$$-409]* \(#,##0.00\);_([$$-409]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</dxf>
    <dxf>
      <numFmt numFmtId="167" formatCode="_([$$-409]* #,##0.00_);_([$$-409]* \(#,##0.00\);_([$$-409]* &quot;-&quot;??_);_(@_)"/>
    </dxf>
    <dxf>
      <numFmt numFmtId="166" formatCode="dd\-mm\-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EmployeeTable" displayName="EmployeeTable" ref="A1:E52" totalsRowCount="1">
  <tableColumns count="5">
    <tableColumn id="1" xr3:uid="{00000000-0010-0000-0000-000001000000}" name="Employee ID" totalsRowDxfId="6"/>
    <tableColumn id="2" xr3:uid="{00000000-0010-0000-0000-000002000000}" name="Name" totalsRowDxfId="5"/>
    <tableColumn id="3" xr3:uid="{00000000-0010-0000-0000-000003000000}" name="Department" totalsRowDxfId="4"/>
    <tableColumn id="4" xr3:uid="{00000000-0010-0000-0000-000004000000}" name="Salary" totalsRowFunction="custom" dataDxfId="7" totalsRowDxfId="3">
      <totalsRowFormula>SUM(EmployeeTable[Salary])</totalsRowFormula>
    </tableColumn>
    <tableColumn id="5" xr3:uid="{00000000-0010-0000-0000-000005000000}" name="Joining Date" dataDxfId="8" totalsRow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60"/>
  <sheetViews>
    <sheetView tabSelected="1" workbookViewId="0">
      <selection activeCell="I18" sqref="I18"/>
    </sheetView>
  </sheetViews>
  <sheetFormatPr defaultRowHeight="13.8"/>
  <cols>
    <col min="1" max="1" width="14" customWidth="1"/>
    <col min="2" max="2" width="18" customWidth="1"/>
    <col min="3" max="3" width="16" customWidth="1"/>
    <col min="4" max="4" width="18.5" customWidth="1"/>
    <col min="5" max="5" width="20" customWidth="1"/>
    <col min="8" max="10" width="4.796875" bestFit="1" customWidth="1"/>
  </cols>
  <sheetData>
    <row r="1" spans="1:15" ht="14.4">
      <c r="A1" s="2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1"/>
      <c r="G1" s="1"/>
      <c r="H1" s="1"/>
      <c r="I1" s="1"/>
    </row>
    <row r="2" spans="1:15" ht="14.4">
      <c r="A2" s="1" t="s">
        <v>5</v>
      </c>
      <c r="B2" s="1" t="s">
        <v>6</v>
      </c>
      <c r="C2" s="1" t="s">
        <v>7</v>
      </c>
      <c r="D2" s="5">
        <v>56222</v>
      </c>
      <c r="E2" s="4">
        <v>43831</v>
      </c>
      <c r="F2" s="1"/>
      <c r="G2" s="1"/>
      <c r="H2" s="1"/>
      <c r="I2" s="1"/>
    </row>
    <row r="3" spans="1:15" ht="14.4">
      <c r="A3" s="1" t="s">
        <v>8</v>
      </c>
      <c r="B3" s="1" t="s">
        <v>9</v>
      </c>
      <c r="C3" s="1" t="s">
        <v>10</v>
      </c>
      <c r="D3" s="5">
        <v>49886</v>
      </c>
      <c r="E3" s="4">
        <v>43832</v>
      </c>
      <c r="F3" s="1"/>
      <c r="G3" s="1"/>
      <c r="H3" s="1"/>
      <c r="I3" s="1"/>
    </row>
    <row r="4" spans="1:15" ht="14.4">
      <c r="A4" s="1" t="s">
        <v>11</v>
      </c>
      <c r="B4" s="1" t="s">
        <v>12</v>
      </c>
      <c r="C4" s="1" t="s">
        <v>13</v>
      </c>
      <c r="D4" s="5">
        <v>70875</v>
      </c>
      <c r="E4" s="4">
        <v>43833</v>
      </c>
      <c r="F4" s="1"/>
      <c r="G4" s="1"/>
      <c r="H4" s="6" t="s">
        <v>110</v>
      </c>
      <c r="I4" s="6" t="s">
        <v>110</v>
      </c>
      <c r="J4" s="6" t="s">
        <v>110</v>
      </c>
      <c r="K4" s="7" t="s">
        <v>111</v>
      </c>
      <c r="L4" s="7" t="s">
        <v>113</v>
      </c>
      <c r="M4" s="7" t="s">
        <v>114</v>
      </c>
      <c r="N4" s="7" t="s">
        <v>115</v>
      </c>
      <c r="O4" s="7" t="s">
        <v>116</v>
      </c>
    </row>
    <row r="5" spans="1:15" ht="14.4">
      <c r="A5" s="1" t="s">
        <v>14</v>
      </c>
      <c r="B5" s="1" t="s">
        <v>15</v>
      </c>
      <c r="C5" s="1" t="s">
        <v>16</v>
      </c>
      <c r="D5" s="5">
        <v>97659</v>
      </c>
      <c r="E5" s="4">
        <v>43834</v>
      </c>
      <c r="F5" s="1"/>
      <c r="G5" s="1"/>
      <c r="H5" s="1">
        <v>35</v>
      </c>
      <c r="I5" s="1">
        <v>22</v>
      </c>
      <c r="J5" s="1">
        <v>70</v>
      </c>
      <c r="K5">
        <f>SUM(H5:J5)+H$12</f>
        <v>137</v>
      </c>
      <c r="L5">
        <f>MAX(H5:J5)</f>
        <v>70</v>
      </c>
      <c r="M5">
        <f>MIN(H5:J5)</f>
        <v>22</v>
      </c>
      <c r="N5">
        <f>COUNT(H5:J5)</f>
        <v>3</v>
      </c>
      <c r="O5">
        <f>AVERAGE(H5:J5)</f>
        <v>42.333333333333336</v>
      </c>
    </row>
    <row r="6" spans="1:15" ht="14.4">
      <c r="A6" s="1" t="s">
        <v>17</v>
      </c>
      <c r="B6" s="1" t="s">
        <v>18</v>
      </c>
      <c r="C6" s="1" t="s">
        <v>19</v>
      </c>
      <c r="D6" s="5">
        <v>36164</v>
      </c>
      <c r="E6" s="4">
        <v>43835</v>
      </c>
      <c r="F6" s="1"/>
      <c r="G6" s="1"/>
      <c r="H6" s="1">
        <v>74</v>
      </c>
      <c r="I6" s="1">
        <v>80</v>
      </c>
      <c r="J6" s="1">
        <v>86</v>
      </c>
      <c r="K6">
        <f t="shared" ref="K6:K9" si="0">SUM(H6:J6)+H$12</f>
        <v>250</v>
      </c>
      <c r="L6">
        <f t="shared" ref="L6:L9" si="1">MAX(H6:J6)</f>
        <v>86</v>
      </c>
      <c r="M6">
        <f t="shared" ref="M6:M9" si="2">MIN(H6:J6)</f>
        <v>74</v>
      </c>
      <c r="N6">
        <f t="shared" ref="N6:N9" si="3">COUNT(H6:J6)</f>
        <v>3</v>
      </c>
      <c r="O6">
        <f t="shared" ref="O6:O9" si="4">AVERAGE(H6:J6)</f>
        <v>80</v>
      </c>
    </row>
    <row r="7" spans="1:15" ht="14.4">
      <c r="A7" s="1" t="s">
        <v>20</v>
      </c>
      <c r="B7" s="1" t="s">
        <v>21</v>
      </c>
      <c r="C7" s="1" t="s">
        <v>7</v>
      </c>
      <c r="D7" s="5">
        <v>39747</v>
      </c>
      <c r="E7" s="4">
        <v>43836</v>
      </c>
      <c r="F7" s="1"/>
      <c r="G7" s="1"/>
      <c r="H7" s="1">
        <v>66</v>
      </c>
      <c r="I7" s="1">
        <v>80</v>
      </c>
      <c r="J7" s="1">
        <v>15</v>
      </c>
      <c r="K7">
        <f t="shared" si="0"/>
        <v>171</v>
      </c>
      <c r="L7">
        <f t="shared" si="1"/>
        <v>80</v>
      </c>
      <c r="M7">
        <f t="shared" si="2"/>
        <v>15</v>
      </c>
      <c r="N7">
        <f t="shared" si="3"/>
        <v>3</v>
      </c>
      <c r="O7">
        <f t="shared" si="4"/>
        <v>53.666666666666664</v>
      </c>
    </row>
    <row r="8" spans="1:15" ht="14.4">
      <c r="A8" s="1" t="s">
        <v>22</v>
      </c>
      <c r="B8" s="1" t="s">
        <v>23</v>
      </c>
      <c r="C8" s="1" t="s">
        <v>10</v>
      </c>
      <c r="D8" s="5">
        <v>93823</v>
      </c>
      <c r="E8" s="4">
        <v>43837</v>
      </c>
      <c r="F8" s="1"/>
      <c r="G8" s="1"/>
      <c r="H8" s="1">
        <v>96</v>
      </c>
      <c r="I8" s="1">
        <v>83</v>
      </c>
      <c r="J8" s="1">
        <v>93</v>
      </c>
      <c r="K8">
        <f t="shared" si="0"/>
        <v>282</v>
      </c>
      <c r="L8">
        <f t="shared" si="1"/>
        <v>96</v>
      </c>
      <c r="M8">
        <f t="shared" si="2"/>
        <v>83</v>
      </c>
      <c r="N8">
        <f t="shared" si="3"/>
        <v>3</v>
      </c>
      <c r="O8">
        <f t="shared" si="4"/>
        <v>90.666666666666671</v>
      </c>
    </row>
    <row r="9" spans="1:15" ht="14.4">
      <c r="A9" s="1" t="s">
        <v>24</v>
      </c>
      <c r="B9" s="1" t="s">
        <v>25</v>
      </c>
      <c r="C9" s="1" t="s">
        <v>13</v>
      </c>
      <c r="D9" s="5">
        <v>80119</v>
      </c>
      <c r="E9" s="4">
        <v>43838</v>
      </c>
      <c r="F9" s="1"/>
      <c r="G9" s="1"/>
      <c r="H9" s="1">
        <v>61</v>
      </c>
      <c r="I9" s="1">
        <v>17</v>
      </c>
      <c r="J9" s="1">
        <v>38</v>
      </c>
      <c r="K9">
        <f t="shared" si="0"/>
        <v>126</v>
      </c>
      <c r="L9">
        <f t="shared" si="1"/>
        <v>61</v>
      </c>
      <c r="M9">
        <f t="shared" si="2"/>
        <v>17</v>
      </c>
      <c r="N9">
        <f t="shared" si="3"/>
        <v>3</v>
      </c>
      <c r="O9">
        <f t="shared" si="4"/>
        <v>38.666666666666664</v>
      </c>
    </row>
    <row r="10" spans="1:15" ht="14.4">
      <c r="A10" s="1" t="s">
        <v>26</v>
      </c>
      <c r="B10" s="1" t="s">
        <v>27</v>
      </c>
      <c r="C10" s="1" t="s">
        <v>16</v>
      </c>
      <c r="D10" s="5">
        <v>61168</v>
      </c>
      <c r="E10" s="4">
        <v>43839</v>
      </c>
      <c r="F10" s="1"/>
      <c r="G10" s="1"/>
      <c r="H10" s="1"/>
      <c r="I10" s="1"/>
    </row>
    <row r="11" spans="1:15" ht="14.4">
      <c r="A11" s="1" t="s">
        <v>28</v>
      </c>
      <c r="B11" s="1" t="s">
        <v>29</v>
      </c>
      <c r="C11" s="1" t="s">
        <v>19</v>
      </c>
      <c r="D11" s="5">
        <v>56965</v>
      </c>
      <c r="E11" s="4">
        <v>43840</v>
      </c>
      <c r="F11" s="1"/>
      <c r="G11" s="1"/>
      <c r="H11" s="6" t="s">
        <v>112</v>
      </c>
      <c r="I11" s="1"/>
    </row>
    <row r="12" spans="1:15" ht="14.4">
      <c r="A12" s="1" t="s">
        <v>30</v>
      </c>
      <c r="B12" s="1" t="s">
        <v>31</v>
      </c>
      <c r="C12" s="1" t="s">
        <v>7</v>
      </c>
      <c r="D12" s="5">
        <v>73193</v>
      </c>
      <c r="E12" s="4">
        <v>43841</v>
      </c>
      <c r="F12" s="1"/>
      <c r="G12" s="1"/>
      <c r="H12" s="1">
        <v>10</v>
      </c>
      <c r="I12" s="1"/>
    </row>
    <row r="13" spans="1:15" ht="14.4">
      <c r="A13" s="1" t="s">
        <v>32</v>
      </c>
      <c r="B13" s="1" t="s">
        <v>33</v>
      </c>
      <c r="C13" s="1" t="s">
        <v>10</v>
      </c>
      <c r="D13" s="5">
        <v>43801</v>
      </c>
      <c r="E13" s="4">
        <v>43842</v>
      </c>
      <c r="F13" s="1"/>
      <c r="G13" s="1"/>
      <c r="H13" s="1"/>
      <c r="I13" s="1"/>
    </row>
    <row r="14" spans="1:15" ht="14.4">
      <c r="A14" s="1" t="s">
        <v>34</v>
      </c>
      <c r="B14" s="1" t="s">
        <v>35</v>
      </c>
      <c r="C14" s="1" t="s">
        <v>13</v>
      </c>
      <c r="D14" s="5">
        <v>104618</v>
      </c>
      <c r="E14" s="4">
        <v>43843</v>
      </c>
      <c r="F14" s="1"/>
      <c r="G14" s="1"/>
      <c r="H14" s="1"/>
      <c r="I14" s="1"/>
    </row>
    <row r="15" spans="1:15" ht="14.4">
      <c r="A15" s="1" t="s">
        <v>36</v>
      </c>
      <c r="B15" s="1" t="s">
        <v>37</v>
      </c>
      <c r="C15" s="1" t="s">
        <v>16</v>
      </c>
      <c r="D15" s="5">
        <v>88255</v>
      </c>
      <c r="E15" s="4">
        <v>43844</v>
      </c>
      <c r="F15" s="1"/>
      <c r="G15" s="1"/>
      <c r="H15" s="1"/>
      <c r="I15" s="1"/>
    </row>
    <row r="16" spans="1:15" ht="14.4">
      <c r="A16" s="1" t="s">
        <v>38</v>
      </c>
      <c r="B16" s="1" t="s">
        <v>39</v>
      </c>
      <c r="C16" s="1" t="s">
        <v>19</v>
      </c>
      <c r="D16" s="5">
        <v>47070</v>
      </c>
      <c r="E16" s="4">
        <v>43845</v>
      </c>
      <c r="F16" s="1"/>
      <c r="G16" s="1"/>
      <c r="H16" s="1"/>
      <c r="I16" s="1"/>
    </row>
    <row r="17" spans="1:9" ht="14.4">
      <c r="A17" s="1" t="s">
        <v>40</v>
      </c>
      <c r="B17" s="1" t="s">
        <v>41</v>
      </c>
      <c r="C17" s="1" t="s">
        <v>7</v>
      </c>
      <c r="D17" s="5">
        <v>37457</v>
      </c>
      <c r="E17" s="4">
        <v>43846</v>
      </c>
      <c r="F17" s="1"/>
      <c r="G17" s="1"/>
      <c r="H17" s="1"/>
      <c r="I17" s="1"/>
    </row>
    <row r="18" spans="1:9" ht="14.4">
      <c r="A18" s="1" t="s">
        <v>42</v>
      </c>
      <c r="B18" s="1" t="s">
        <v>43</v>
      </c>
      <c r="C18" s="1" t="s">
        <v>10</v>
      </c>
      <c r="D18" s="5">
        <v>45632</v>
      </c>
      <c r="E18" s="4">
        <v>43847</v>
      </c>
      <c r="F18" s="1"/>
      <c r="G18" s="1"/>
      <c r="H18" s="1"/>
      <c r="I18" s="1"/>
    </row>
    <row r="19" spans="1:9" ht="14.4">
      <c r="A19" s="1" t="s">
        <v>44</v>
      </c>
      <c r="B19" s="1" t="s">
        <v>45</v>
      </c>
      <c r="C19" s="1" t="s">
        <v>13</v>
      </c>
      <c r="D19" s="5">
        <v>73419</v>
      </c>
      <c r="E19" s="4">
        <v>43848</v>
      </c>
      <c r="F19" s="1"/>
      <c r="G19" s="1"/>
      <c r="H19" s="1"/>
      <c r="I19" s="1"/>
    </row>
    <row r="20" spans="1:9" ht="14.4">
      <c r="A20" s="1" t="s">
        <v>46</v>
      </c>
      <c r="B20" s="1" t="s">
        <v>47</v>
      </c>
      <c r="C20" s="1" t="s">
        <v>16</v>
      </c>
      <c r="D20" s="5">
        <v>82405</v>
      </c>
      <c r="E20" s="4">
        <v>43849</v>
      </c>
      <c r="F20" s="1"/>
      <c r="G20" s="1"/>
      <c r="H20" s="1"/>
      <c r="I20" s="1"/>
    </row>
    <row r="21" spans="1:9" ht="14.4">
      <c r="A21" s="1" t="s">
        <v>48</v>
      </c>
      <c r="B21" s="1" t="s">
        <v>49</v>
      </c>
      <c r="C21" s="1" t="s">
        <v>19</v>
      </c>
      <c r="D21" s="5">
        <v>37578</v>
      </c>
      <c r="E21" s="4">
        <v>43850</v>
      </c>
      <c r="F21" s="1"/>
      <c r="G21" s="1"/>
      <c r="H21" s="1"/>
      <c r="I21" s="1"/>
    </row>
    <row r="22" spans="1:9" ht="14.4">
      <c r="A22" s="1" t="s">
        <v>50</v>
      </c>
      <c r="B22" s="1" t="s">
        <v>51</v>
      </c>
      <c r="C22" s="1" t="s">
        <v>7</v>
      </c>
      <c r="D22" s="5">
        <v>50772</v>
      </c>
      <c r="E22" s="4">
        <v>43851</v>
      </c>
      <c r="F22" s="1"/>
      <c r="G22" s="1"/>
      <c r="H22" s="1"/>
      <c r="I22" s="1"/>
    </row>
    <row r="23" spans="1:9" ht="14.4">
      <c r="A23" s="1" t="s">
        <v>52</v>
      </c>
      <c r="B23" s="1" t="s">
        <v>53</v>
      </c>
      <c r="C23" s="1" t="s">
        <v>10</v>
      </c>
      <c r="D23" s="5">
        <v>45944</v>
      </c>
      <c r="E23" s="4">
        <v>43852</v>
      </c>
      <c r="F23" s="1"/>
      <c r="G23" s="1"/>
      <c r="H23" s="1"/>
      <c r="I23" s="1"/>
    </row>
    <row r="24" spans="1:9" ht="14.4">
      <c r="A24" s="1" t="s">
        <v>54</v>
      </c>
      <c r="B24" s="1" t="s">
        <v>55</v>
      </c>
      <c r="C24" s="1" t="s">
        <v>13</v>
      </c>
      <c r="D24" s="5">
        <v>81113</v>
      </c>
      <c r="E24" s="4">
        <v>43853</v>
      </c>
      <c r="F24" s="1"/>
      <c r="G24" s="1"/>
      <c r="H24" s="1"/>
      <c r="I24" s="1"/>
    </row>
    <row r="25" spans="1:9" ht="14.4">
      <c r="A25" s="1" t="s">
        <v>56</v>
      </c>
      <c r="B25" s="1" t="s">
        <v>57</v>
      </c>
      <c r="C25" s="1" t="s">
        <v>16</v>
      </c>
      <c r="D25" s="5">
        <v>82821</v>
      </c>
      <c r="E25" s="4">
        <v>43854</v>
      </c>
      <c r="F25" s="1"/>
      <c r="G25" s="1"/>
      <c r="H25" s="1"/>
      <c r="I25" s="1"/>
    </row>
    <row r="26" spans="1:9" ht="14.4">
      <c r="A26" s="1" t="s">
        <v>58</v>
      </c>
      <c r="B26" s="1" t="s">
        <v>59</v>
      </c>
      <c r="C26" s="1" t="s">
        <v>19</v>
      </c>
      <c r="D26" s="5">
        <v>36873</v>
      </c>
      <c r="E26" s="4">
        <v>43855</v>
      </c>
      <c r="F26" s="1"/>
      <c r="G26" s="1"/>
      <c r="H26" s="1"/>
      <c r="I26" s="1"/>
    </row>
    <row r="27" spans="1:9" ht="14.4">
      <c r="A27" s="1" t="s">
        <v>60</v>
      </c>
      <c r="B27" s="1" t="s">
        <v>61</v>
      </c>
      <c r="C27" s="1" t="s">
        <v>7</v>
      </c>
      <c r="D27" s="5">
        <v>89188</v>
      </c>
      <c r="E27" s="4">
        <v>43856</v>
      </c>
      <c r="F27" s="1"/>
      <c r="G27" s="1"/>
      <c r="H27" s="1"/>
      <c r="I27" s="1"/>
    </row>
    <row r="28" spans="1:9" ht="14.4">
      <c r="A28" s="1" t="s">
        <v>62</v>
      </c>
      <c r="B28" s="1" t="s">
        <v>63</v>
      </c>
      <c r="C28" s="1" t="s">
        <v>10</v>
      </c>
      <c r="D28" s="5">
        <v>77057</v>
      </c>
      <c r="E28" s="4">
        <v>43857</v>
      </c>
      <c r="F28" s="1"/>
      <c r="G28" s="1"/>
      <c r="H28" s="1"/>
      <c r="I28" s="1"/>
    </row>
    <row r="29" spans="1:9" ht="14.4">
      <c r="A29" s="1" t="s">
        <v>64</v>
      </c>
      <c r="B29" s="1" t="s">
        <v>65</v>
      </c>
      <c r="C29" s="1" t="s">
        <v>13</v>
      </c>
      <c r="D29" s="5">
        <v>53113</v>
      </c>
      <c r="E29" s="4">
        <v>43858</v>
      </c>
      <c r="F29" s="1"/>
      <c r="G29" s="1"/>
      <c r="H29" s="1"/>
      <c r="I29" s="1"/>
    </row>
    <row r="30" spans="1:9" ht="14.4">
      <c r="A30" s="1" t="s">
        <v>66</v>
      </c>
      <c r="B30" s="1" t="s">
        <v>67</v>
      </c>
      <c r="C30" s="1" t="s">
        <v>16</v>
      </c>
      <c r="D30" s="5">
        <v>69630</v>
      </c>
      <c r="E30" s="4">
        <v>43859</v>
      </c>
      <c r="F30" s="1"/>
      <c r="G30" s="1"/>
      <c r="H30" s="1"/>
      <c r="I30" s="1"/>
    </row>
    <row r="31" spans="1:9" ht="14.4">
      <c r="A31" s="1" t="s">
        <v>68</v>
      </c>
      <c r="B31" s="1" t="s">
        <v>69</v>
      </c>
      <c r="C31" s="1" t="s">
        <v>19</v>
      </c>
      <c r="D31" s="5">
        <v>74328</v>
      </c>
      <c r="E31" s="4">
        <v>43860</v>
      </c>
      <c r="F31" s="1"/>
      <c r="G31" s="1"/>
      <c r="H31" s="1"/>
      <c r="I31" s="1"/>
    </row>
    <row r="32" spans="1:9" ht="14.4">
      <c r="A32" s="1" t="s">
        <v>70</v>
      </c>
      <c r="B32" s="1" t="s">
        <v>71</v>
      </c>
      <c r="C32" s="1" t="s">
        <v>7</v>
      </c>
      <c r="D32" s="5">
        <v>76119</v>
      </c>
      <c r="E32" s="4">
        <v>43861</v>
      </c>
      <c r="F32" s="1"/>
      <c r="G32" s="1"/>
      <c r="H32" s="1"/>
      <c r="I32" s="1"/>
    </row>
    <row r="33" spans="1:9" ht="14.4">
      <c r="A33" s="1" t="s">
        <v>72</v>
      </c>
      <c r="B33" s="1" t="s">
        <v>73</v>
      </c>
      <c r="C33" s="1" t="s">
        <v>10</v>
      </c>
      <c r="D33" s="5">
        <v>78207</v>
      </c>
      <c r="E33" s="4">
        <v>43862</v>
      </c>
      <c r="F33" s="1"/>
      <c r="G33" s="1"/>
      <c r="H33" s="1"/>
      <c r="I33" s="1"/>
    </row>
    <row r="34" spans="1:9" ht="14.4">
      <c r="A34" s="1" t="s">
        <v>74</v>
      </c>
      <c r="B34" s="1" t="s">
        <v>75</v>
      </c>
      <c r="C34" s="1" t="s">
        <v>13</v>
      </c>
      <c r="D34" s="5">
        <v>49054</v>
      </c>
      <c r="E34" s="4">
        <v>43863</v>
      </c>
      <c r="F34" s="1"/>
      <c r="G34" s="1"/>
      <c r="H34" s="1"/>
      <c r="I34" s="1"/>
    </row>
    <row r="35" spans="1:9" ht="14.4">
      <c r="A35" s="1" t="s">
        <v>76</v>
      </c>
      <c r="B35" s="1" t="s">
        <v>77</v>
      </c>
      <c r="C35" s="1" t="s">
        <v>16</v>
      </c>
      <c r="D35" s="5">
        <v>92821</v>
      </c>
      <c r="E35" s="4">
        <v>43864</v>
      </c>
      <c r="F35" s="1"/>
      <c r="G35" s="1"/>
      <c r="H35" s="1"/>
      <c r="I35" s="1"/>
    </row>
    <row r="36" spans="1:9" ht="14.4">
      <c r="A36" s="1" t="s">
        <v>78</v>
      </c>
      <c r="B36" s="1" t="s">
        <v>79</v>
      </c>
      <c r="C36" s="1" t="s">
        <v>19</v>
      </c>
      <c r="D36" s="5">
        <v>71374</v>
      </c>
      <c r="E36" s="4">
        <v>43865</v>
      </c>
      <c r="F36" s="1"/>
      <c r="G36" s="1"/>
      <c r="H36" s="1"/>
      <c r="I36" s="1"/>
    </row>
    <row r="37" spans="1:9" ht="14.4">
      <c r="A37" s="1" t="s">
        <v>80</v>
      </c>
      <c r="B37" s="1" t="s">
        <v>81</v>
      </c>
      <c r="C37" s="1" t="s">
        <v>7</v>
      </c>
      <c r="D37" s="5">
        <v>60996</v>
      </c>
      <c r="E37" s="4">
        <v>43866</v>
      </c>
      <c r="F37" s="1"/>
      <c r="G37" s="1"/>
      <c r="H37" s="1"/>
      <c r="I37" s="1"/>
    </row>
    <row r="38" spans="1:9" ht="14.4">
      <c r="A38" s="1" t="s">
        <v>82</v>
      </c>
      <c r="B38" s="1" t="s">
        <v>83</v>
      </c>
      <c r="C38" s="1" t="s">
        <v>10</v>
      </c>
      <c r="D38" s="5">
        <v>43249</v>
      </c>
      <c r="E38" s="4">
        <v>43867</v>
      </c>
      <c r="F38" s="1"/>
      <c r="G38" s="1"/>
      <c r="H38" s="1"/>
      <c r="I38" s="1"/>
    </row>
    <row r="39" spans="1:9" ht="14.4">
      <c r="A39" s="1" t="s">
        <v>84</v>
      </c>
      <c r="B39" s="1" t="s">
        <v>85</v>
      </c>
      <c r="C39" s="1" t="s">
        <v>13</v>
      </c>
      <c r="D39" s="5">
        <v>59488</v>
      </c>
      <c r="E39" s="4">
        <v>43868</v>
      </c>
      <c r="F39" s="1"/>
      <c r="G39" s="1"/>
      <c r="H39" s="1"/>
      <c r="I39" s="1"/>
    </row>
    <row r="40" spans="1:9" ht="14.4">
      <c r="A40" s="1" t="s">
        <v>86</v>
      </c>
      <c r="B40" s="1" t="s">
        <v>87</v>
      </c>
      <c r="C40" s="1" t="s">
        <v>16</v>
      </c>
      <c r="D40" s="5">
        <v>58052</v>
      </c>
      <c r="E40" s="4">
        <v>43869</v>
      </c>
      <c r="F40" s="1"/>
      <c r="G40" s="1"/>
      <c r="H40" s="1"/>
      <c r="I40" s="1"/>
    </row>
    <row r="41" spans="1:9" ht="14.4">
      <c r="A41" s="1" t="s">
        <v>88</v>
      </c>
      <c r="B41" s="1" t="s">
        <v>89</v>
      </c>
      <c r="C41" s="1" t="s">
        <v>19</v>
      </c>
      <c r="D41" s="5">
        <v>69481</v>
      </c>
      <c r="E41" s="4">
        <v>43870</v>
      </c>
      <c r="F41" s="1"/>
      <c r="G41" s="1"/>
      <c r="H41" s="1"/>
      <c r="I41" s="1"/>
    </row>
    <row r="42" spans="1:9" ht="14.4">
      <c r="A42" s="1" t="s">
        <v>90</v>
      </c>
      <c r="B42" s="1" t="s">
        <v>91</v>
      </c>
      <c r="C42" s="1" t="s">
        <v>7</v>
      </c>
      <c r="D42" s="5">
        <v>91260</v>
      </c>
      <c r="E42" s="4">
        <v>43871</v>
      </c>
      <c r="F42" s="1"/>
      <c r="G42" s="1"/>
      <c r="H42" s="1"/>
      <c r="I42" s="1"/>
    </row>
    <row r="43" spans="1:9" ht="14.4">
      <c r="A43" s="1" t="s">
        <v>92</v>
      </c>
      <c r="B43" s="1" t="s">
        <v>93</v>
      </c>
      <c r="C43" s="1" t="s">
        <v>10</v>
      </c>
      <c r="D43" s="5">
        <v>48727</v>
      </c>
      <c r="E43" s="4">
        <v>43872</v>
      </c>
      <c r="F43" s="1"/>
      <c r="G43" s="1"/>
      <c r="H43" s="1"/>
      <c r="I43" s="1"/>
    </row>
    <row r="44" spans="1:9" ht="14.4">
      <c r="A44" s="1" t="s">
        <v>94</v>
      </c>
      <c r="B44" s="1" t="s">
        <v>95</v>
      </c>
      <c r="C44" s="1" t="s">
        <v>13</v>
      </c>
      <c r="D44" s="5">
        <v>63979</v>
      </c>
      <c r="E44" s="4">
        <v>43873</v>
      </c>
      <c r="F44" s="1"/>
      <c r="G44" s="1"/>
      <c r="H44" s="1"/>
      <c r="I44" s="1"/>
    </row>
    <row r="45" spans="1:9" ht="14.4">
      <c r="A45" s="1" t="s">
        <v>96</v>
      </c>
      <c r="B45" s="1" t="s">
        <v>97</v>
      </c>
      <c r="C45" s="1" t="s">
        <v>16</v>
      </c>
      <c r="D45" s="5">
        <v>82468</v>
      </c>
      <c r="E45" s="4">
        <v>43874</v>
      </c>
      <c r="F45" s="1"/>
      <c r="G45" s="1"/>
      <c r="H45" s="1"/>
      <c r="I45" s="1"/>
    </row>
    <row r="46" spans="1:9" ht="14.4">
      <c r="A46" s="1" t="s">
        <v>98</v>
      </c>
      <c r="B46" s="1" t="s">
        <v>99</v>
      </c>
      <c r="C46" s="1" t="s">
        <v>19</v>
      </c>
      <c r="D46" s="5">
        <v>42453</v>
      </c>
      <c r="E46" s="4">
        <v>43875</v>
      </c>
      <c r="F46" s="1"/>
      <c r="G46" s="1"/>
      <c r="H46" s="1"/>
      <c r="I46" s="1"/>
    </row>
    <row r="47" spans="1:9" ht="14.4">
      <c r="A47" s="1" t="s">
        <v>100</v>
      </c>
      <c r="B47" s="1" t="s">
        <v>101</v>
      </c>
      <c r="C47" s="1" t="s">
        <v>7</v>
      </c>
      <c r="D47" s="5">
        <v>70434</v>
      </c>
      <c r="E47" s="4">
        <v>43876</v>
      </c>
      <c r="F47" s="1"/>
      <c r="G47" s="1"/>
      <c r="H47" s="1"/>
      <c r="I47" s="1"/>
    </row>
    <row r="48" spans="1:9" ht="14.4">
      <c r="A48" s="1" t="s">
        <v>102</v>
      </c>
      <c r="B48" s="1" t="s">
        <v>103</v>
      </c>
      <c r="C48" s="1" t="s">
        <v>10</v>
      </c>
      <c r="D48" s="5">
        <v>47719</v>
      </c>
      <c r="E48" s="4">
        <v>43877</v>
      </c>
      <c r="F48" s="1"/>
      <c r="G48" s="1"/>
      <c r="H48" s="1"/>
      <c r="I48" s="1"/>
    </row>
    <row r="49" spans="1:9" ht="14.4">
      <c r="A49" s="1" t="s">
        <v>104</v>
      </c>
      <c r="B49" s="1" t="s">
        <v>105</v>
      </c>
      <c r="C49" s="1" t="s">
        <v>13</v>
      </c>
      <c r="D49" s="5">
        <v>82415</v>
      </c>
      <c r="E49" s="4">
        <v>43878</v>
      </c>
      <c r="F49" s="1"/>
      <c r="G49" s="1"/>
      <c r="H49" s="1"/>
      <c r="I49" s="1"/>
    </row>
    <row r="50" spans="1:9" ht="14.4">
      <c r="A50" s="1" t="s">
        <v>106</v>
      </c>
      <c r="B50" s="1" t="s">
        <v>107</v>
      </c>
      <c r="C50" s="1" t="s">
        <v>16</v>
      </c>
      <c r="D50" s="5">
        <v>75216</v>
      </c>
      <c r="E50" s="4">
        <v>43879</v>
      </c>
      <c r="F50" s="1"/>
      <c r="G50" s="1"/>
      <c r="H50" s="1"/>
      <c r="I50" s="1"/>
    </row>
    <row r="51" spans="1:9" ht="14.4">
      <c r="A51" s="1" t="s">
        <v>108</v>
      </c>
      <c r="B51" s="1" t="s">
        <v>109</v>
      </c>
      <c r="C51" s="1" t="s">
        <v>19</v>
      </c>
      <c r="D51" s="5">
        <v>69717</v>
      </c>
      <c r="E51" s="4">
        <v>43880</v>
      </c>
      <c r="F51" s="1"/>
      <c r="G51" s="1"/>
      <c r="H51" s="1"/>
      <c r="I51" s="1"/>
    </row>
    <row r="52" spans="1:9" ht="14.4">
      <c r="A52" s="1"/>
      <c r="B52" s="1"/>
      <c r="C52" s="1"/>
      <c r="D52" s="5">
        <f>SUM(EmployeeTable[Salary])</f>
        <v>3270124</v>
      </c>
      <c r="E52" s="4"/>
      <c r="F52" s="1"/>
      <c r="G52" s="1"/>
      <c r="H52" s="1"/>
      <c r="I52" s="1"/>
    </row>
    <row r="53" spans="1:9" ht="14.4">
      <c r="A53" s="1"/>
      <c r="B53" s="1"/>
      <c r="C53" s="1"/>
      <c r="D53" s="1"/>
      <c r="E53" s="1"/>
      <c r="F53" s="1"/>
      <c r="G53" s="1"/>
      <c r="H53" s="1"/>
      <c r="I53" s="1"/>
    </row>
    <row r="54" spans="1:9" ht="14.4">
      <c r="A54" s="1"/>
      <c r="B54" s="1"/>
      <c r="C54" s="1"/>
      <c r="D54" s="1"/>
      <c r="E54" s="1"/>
      <c r="F54" s="1"/>
      <c r="G54" s="1"/>
      <c r="H54" s="1"/>
      <c r="I54" s="1"/>
    </row>
    <row r="55" spans="1:9" ht="14.4">
      <c r="A55" s="1"/>
      <c r="B55" s="1"/>
      <c r="C55" s="1"/>
      <c r="D55" s="1"/>
      <c r="E55" s="1"/>
      <c r="F55" s="1"/>
      <c r="G55" s="1"/>
      <c r="H55" s="1"/>
      <c r="I55" s="1"/>
    </row>
    <row r="56" spans="1:9" ht="14.4">
      <c r="A56" s="1"/>
      <c r="B56" s="1"/>
      <c r="C56" s="1"/>
      <c r="D56" s="1"/>
      <c r="E56" s="1"/>
      <c r="F56" s="1"/>
      <c r="G56" s="1"/>
      <c r="H56" s="1"/>
      <c r="I56" s="1"/>
    </row>
    <row r="57" spans="1:9" ht="14.4">
      <c r="A57" s="1"/>
      <c r="B57" s="1"/>
      <c r="C57" s="1"/>
      <c r="D57" s="1"/>
      <c r="E57" s="1"/>
      <c r="F57" s="1"/>
      <c r="G57" s="1"/>
      <c r="H57" s="1"/>
      <c r="I57" s="1"/>
    </row>
    <row r="58" spans="1:9" ht="14.4">
      <c r="A58" s="1"/>
      <c r="B58" s="1"/>
      <c r="C58" s="1"/>
      <c r="D58" s="1"/>
      <c r="E58" s="1"/>
      <c r="F58" s="1"/>
      <c r="G58" s="1"/>
      <c r="H58" s="1"/>
      <c r="I58" s="1"/>
    </row>
    <row r="59" spans="1:9" ht="14.4">
      <c r="A59" s="1"/>
      <c r="B59" s="1"/>
      <c r="C59" s="1"/>
      <c r="D59" s="1"/>
      <c r="E59" s="1"/>
      <c r="F59" s="1"/>
      <c r="G59" s="1"/>
      <c r="H59" s="1"/>
      <c r="I59" s="1"/>
    </row>
    <row r="60" spans="1:9" ht="14.4">
      <c r="A60" s="1"/>
      <c r="B60" s="1"/>
      <c r="C60" s="1"/>
      <c r="D60" s="1"/>
      <c r="E60" s="1"/>
      <c r="F60" s="1"/>
      <c r="G60" s="1"/>
      <c r="H60" s="1"/>
      <c r="I60" s="1"/>
    </row>
  </sheetData>
  <conditionalFormatting sqref="A2:E51">
    <cfRule type="expression" dxfId="0" priority="1">
      <formula>$C2="Sales"</formula>
    </cfRule>
  </conditionalFormatting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Employee_Data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Sameen Zaki</cp:lastModifiedBy>
  <dcterms:modified xsi:type="dcterms:W3CDTF">2026-09-11T13:15:22Z</dcterms:modified>
</cp:coreProperties>
</file>